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434353D0-1863-4AF8-8F18-97168102192C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6" i="1" l="1"/>
  <c r="C10" i="1" s="1"/>
  <c r="E14" i="1"/>
  <c r="D14" i="1"/>
  <c r="F7" i="1"/>
  <c r="D8" i="1"/>
  <c r="F8" i="1" s="1"/>
  <c r="E8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4" i="1"/>
  <c r="D5" i="1"/>
  <c r="D4" i="1"/>
  <c r="E12" i="1" l="1"/>
  <c r="D12" i="1"/>
  <c r="E13" i="1"/>
  <c r="D13" i="1"/>
  <c r="E15" i="1"/>
  <c r="D15" i="1"/>
  <c r="E16" i="1"/>
  <c r="D16" i="1"/>
  <c r="E17" i="1"/>
  <c r="D17" i="1"/>
  <c r="E18" i="1"/>
  <c r="D18" i="1"/>
  <c r="E19" i="1"/>
  <c r="D19" i="1"/>
  <c r="E20" i="1"/>
  <c r="D20" i="1"/>
  <c r="E21" i="1"/>
  <c r="D21" i="1"/>
  <c r="E22" i="1"/>
  <c r="D22" i="1"/>
  <c r="E23" i="1"/>
  <c r="D23" i="1"/>
  <c r="E24" i="1"/>
  <c r="D24" i="1"/>
  <c r="D25" i="1"/>
  <c r="E25" i="1"/>
  <c r="D26" i="1"/>
  <c r="E26" i="1"/>
  <c r="D27" i="1"/>
  <c r="E27" i="1"/>
  <c r="E11" i="1"/>
  <c r="D11" i="1"/>
  <c r="D10" i="1"/>
  <c r="F10" i="1" s="1"/>
  <c r="E10" i="1"/>
  <c r="E9" i="1"/>
  <c r="D9" i="1"/>
  <c r="F9" i="1" s="1"/>
  <c r="K2" i="1"/>
  <c r="K3" i="1"/>
  <c r="K4" i="1" a="1"/>
  <c r="K5" i="1" l="1"/>
  <c r="K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<sst xmlns="http://schemas.openxmlformats.org/spreadsheetml/2006/main" count="25" uniqueCount="22">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</sst>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164" fontId="2" fillId="6" borderId="1" xfId="0" applyNumberFormat="1" applyFont="1" applyFill="1" applyBorder="1"/>
    <xf numFmtId="3" fontId="2" fillId="6" borderId="2" xfId="0" applyNumberFormat="1" applyFont="1" applyFill="1" applyBorder="1" applyProtection="1">
      <protection locked="0"/>
    </xf>
    <xf numFmtId="3" fontId="2" fillId="6" borderId="1" xfId="0" applyNumberFormat="1" applyFont="1" applyFill="1" applyBorder="1"/>
    <xf numFmtId="9" fontId="2" fillId="6" borderId="1" xfId="0" applyNumberFormat="1" applyFont="1" applyFill="1" applyBorder="1"/>
    <xf numFmtId="3" fontId="2" fillId="0" borderId="1" xfId="0" applyNumberFormat="1" applyFont="1" applyBorder="1"/>
    <xf numFmtId="0" fontId="1" fillId="3" borderId="24" xfId="0" applyFont="1" applyFill="1" applyBorder="1"/>
    <xf numFmtId="0" fontId="1" fillId="10" borderId="25" xfId="0" applyFont="1" applyFill="1" applyBorder="1"/>
    <xf numFmtId="0" fontId="2" fillId="3" borderId="26" xfId="0" applyFont="1" applyFill="1" applyBorder="1"/>
    <xf numFmtId="0" fontId="2" fillId="11" borderId="2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1DECD"/>
      <color rgb="FFF49E9E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6710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P27"/>
  <sheetViews>
    <sheetView tabSelected="1" zoomScale="125" zoomScaleNormal="125" workbookViewId="0">
      <selection activeCell="G12" sqref="G12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2" width="3.5703125" style="24" customWidth="1"/>
    <col min="13" max="13" width="12.85546875" style="24" bestFit="1" customWidth="1"/>
    <col min="14" max="14" width="9.140625" style="24"/>
    <col min="15" max="15" width="11.42578125" style="24" bestFit="1" customWidth="1"/>
    <col min="16" max="16" width="6.42578125" style="24" customWidth="1"/>
    <col min="17" max="16384" width="9.140625" style="24"/>
  </cols>
  <sheetData>
    <row r="1" spans="2:16" ht="15" thickBot="1" x14ac:dyDescent="0.25">
      <c r="B1" s="24"/>
      <c r="C1" s="24"/>
      <c r="D1" s="24"/>
      <c r="E1" s="24"/>
      <c r="F1" s="24"/>
      <c r="G1" s="24"/>
    </row>
    <row r="2" spans="2:16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17</v>
      </c>
      <c r="M2" s="49" t="s">
        <v>20</v>
      </c>
      <c r="N2" s="50"/>
      <c r="O2" s="50"/>
      <c r="P2" s="51"/>
    </row>
    <row r="3" spans="2:16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9</v>
      </c>
      <c r="M3" s="46" t="s">
        <v>13</v>
      </c>
      <c r="N3" s="43">
        <v>0</v>
      </c>
      <c r="O3" s="46" t="s">
        <v>17</v>
      </c>
      <c r="P3" s="43">
        <v>0</v>
      </c>
    </row>
    <row r="4" spans="2:16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 cm="1">
        <f t="array" ref="K4">MAX(0,20000-LOOKUP(2,1/(C3:C27&lt;&gt;""),C3:C27))</f>
        <v>13290</v>
      </c>
      <c r="M4" s="47" t="s">
        <v>14</v>
      </c>
      <c r="N4" s="44">
        <v>0</v>
      </c>
      <c r="O4" s="47" t="s">
        <v>18</v>
      </c>
      <c r="P4" s="44">
        <v>0</v>
      </c>
    </row>
    <row r="5" spans="2:16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1477</v>
      </c>
      <c r="M5" s="47" t="s">
        <v>15</v>
      </c>
      <c r="N5" s="44">
        <v>5610</v>
      </c>
      <c r="O5" s="57" t="s">
        <v>19</v>
      </c>
      <c r="P5" s="58">
        <v>0</v>
      </c>
    </row>
    <row r="6" spans="2:16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782</v>
      </c>
      <c r="M6" s="48" t="s">
        <v>16</v>
      </c>
      <c r="N6" s="45">
        <v>1100</v>
      </c>
      <c r="O6" s="59" t="s">
        <v>21</v>
      </c>
      <c r="P6" s="60">
        <f>SUM($P$3:$P$5,$N$3:$N$6)</f>
        <v>6710</v>
      </c>
    </row>
    <row r="7" spans="2:16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6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6" ht="15" customHeight="1" x14ac:dyDescent="0.2">
      <c r="B9" s="2">
        <v>46256</v>
      </c>
      <c r="C9" s="40">
        <v>6407</v>
      </c>
      <c r="D9" s="26">
        <f t="shared" si="1"/>
        <v>797</v>
      </c>
      <c r="E9" s="26">
        <f t="shared" si="2"/>
        <v>593</v>
      </c>
      <c r="F9" s="27">
        <f t="shared" ref="F9:F27" si="3">IF(G9="","",IF(C9="","",D9/(G9-C8)))</f>
        <v>0.57338129496402879</v>
      </c>
      <c r="G9" s="35">
        <v>7000</v>
      </c>
      <c r="H9" s="19">
        <v>20000</v>
      </c>
    </row>
    <row r="10" spans="2:16" ht="15" x14ac:dyDescent="0.25">
      <c r="B10" s="4">
        <v>46257</v>
      </c>
      <c r="C10" s="41">
        <f>P6</f>
        <v>6710</v>
      </c>
      <c r="D10" s="28">
        <f t="shared" si="1"/>
        <v>303</v>
      </c>
      <c r="E10" s="28">
        <f t="shared" si="2"/>
        <v>1290</v>
      </c>
      <c r="F10" s="33">
        <f t="shared" si="3"/>
        <v>0.19020715630885121</v>
      </c>
      <c r="G10" s="36">
        <v>8000</v>
      </c>
      <c r="H10" s="20">
        <v>20000</v>
      </c>
    </row>
    <row r="11" spans="2:16" x14ac:dyDescent="0.2">
      <c r="B11" s="2">
        <v>46258</v>
      </c>
      <c r="C11" s="40"/>
      <c r="D11" s="26" t="str">
        <f t="shared" si="1"/>
        <v/>
      </c>
      <c r="E11" s="26" t="str">
        <f t="shared" si="2"/>
        <v/>
      </c>
      <c r="F11" s="27" t="str">
        <f t="shared" si="3"/>
        <v/>
      </c>
      <c r="G11" s="35"/>
      <c r="H11" s="19">
        <v>20000</v>
      </c>
    </row>
    <row r="12" spans="2:16" ht="15" x14ac:dyDescent="0.25">
      <c r="B12" s="4">
        <v>46259</v>
      </c>
      <c r="C12" s="41"/>
      <c r="D12" s="28" t="str">
        <f t="shared" si="1"/>
        <v/>
      </c>
      <c r="E12" s="28" t="str">
        <f t="shared" si="2"/>
        <v/>
      </c>
      <c r="F12" s="33" t="str">
        <f t="shared" si="3"/>
        <v/>
      </c>
      <c r="G12" s="36"/>
      <c r="H12" s="20">
        <v>20000</v>
      </c>
    </row>
    <row r="13" spans="2:16" x14ac:dyDescent="0.2">
      <c r="B13" s="2">
        <v>46260</v>
      </c>
      <c r="C13" s="40"/>
      <c r="D13" s="26" t="str">
        <f t="shared" si="1"/>
        <v/>
      </c>
      <c r="E13" s="26" t="str">
        <f t="shared" si="2"/>
        <v/>
      </c>
      <c r="F13" s="27" t="str">
        <f t="shared" si="3"/>
        <v/>
      </c>
      <c r="G13" s="35"/>
      <c r="H13" s="19">
        <v>20000</v>
      </c>
    </row>
    <row r="14" spans="2:16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6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6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.75" thickBot="1" x14ac:dyDescent="0.3">
      <c r="B19" s="52">
        <v>46266</v>
      </c>
      <c r="C19" s="53"/>
      <c r="D19" s="54" t="str">
        <f t="shared" si="1"/>
        <v/>
      </c>
      <c r="E19" s="54" t="str">
        <f t="shared" si="2"/>
        <v/>
      </c>
      <c r="F19" s="55" t="str">
        <f t="shared" si="3"/>
        <v/>
      </c>
      <c r="G19" s="53"/>
      <c r="H19" s="56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mergeCells count="1">
    <mergeCell ref="M2:P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2026-08-23T11:58:03Z</dcterms:modified>
</cp:coreProperties>
</file>