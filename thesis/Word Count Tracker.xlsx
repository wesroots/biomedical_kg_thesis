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sers\wesle\biomedical_kg_thesis\thesis\"/>
    </mc:Choice>
  </mc:AlternateContent>
  <xr:revisionPtr revIDLastSave="0" documentId="13_ncr:1_{91A4759D-C6E7-4913-AF7E-3D2F365AE1F1}" xr6:coauthVersionLast="47" xr6:coauthVersionMax="47" xr10:uidLastSave="{00000000-0000-0000-0000-000000000000}"/>
  <bookViews>
    <workbookView xWindow="28680" yWindow="-120" windowWidth="29040" windowHeight="15840" xr2:uid="{9A934C0C-D068-49A2-992C-A9C72EA321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" i="1" l="1"/>
  <c r="H4" i="1" a="1"/>
  <c r="H2" i="1"/>
  <c r="H5" i="1" l="1"/>
  <c r="H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<sst xmlns="http://schemas.openxmlformats.org/spreadsheetml/2006/main" count="9" uniqueCount="9">
  <si>
    <t>Count</t>
  </si>
  <si>
    <t>Target</t>
  </si>
  <si>
    <t>Date</t>
  </si>
  <si>
    <t>Words Remaining</t>
  </si>
  <si>
    <t>Days Remaining (Deadline)</t>
  </si>
  <si>
    <t>Days Remaining (Target)</t>
  </si>
  <si>
    <t>Target Daily Rate</t>
  </si>
  <si>
    <t>Deadline Daily Rate</t>
  </si>
  <si>
    <t>Overall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</si>
</sst>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49E9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164" fontId="1" fillId="3" borderId="6" xfId="0" applyNumberFormat="1" applyFont="1" applyFill="1" applyBorder="1"/>
    <xf numFmtId="164" fontId="1" fillId="3" borderId="7" xfId="0" applyNumberFormat="1" applyFont="1" applyFill="1" applyBorder="1"/>
    <xf numFmtId="3" fontId="1" fillId="5" borderId="3" xfId="0" applyNumberFormat="1" applyFont="1" applyFill="1" applyBorder="1"/>
    <xf numFmtId="3" fontId="1" fillId="5" borderId="4" xfId="0" applyNumberFormat="1" applyFont="1" applyFill="1" applyBorder="1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4" fontId="2" fillId="3" borderId="6" xfId="0" applyNumberFormat="1" applyFont="1" applyFill="1" applyBorder="1"/>
    <xf numFmtId="164" fontId="2" fillId="3" borderId="7" xfId="0" applyNumberFormat="1" applyFont="1" applyFill="1" applyBorder="1"/>
    <xf numFmtId="3" fontId="1" fillId="5" borderId="6" xfId="0" applyNumberFormat="1" applyFont="1" applyFill="1" applyBorder="1"/>
    <xf numFmtId="164" fontId="1" fillId="3" borderId="9" xfId="0" applyNumberFormat="1" applyFont="1" applyFill="1" applyBorder="1"/>
    <xf numFmtId="3" fontId="1" fillId="5" borderId="10" xfId="0" applyNumberFormat="1" applyFont="1" applyFill="1" applyBorder="1"/>
    <xf numFmtId="3" fontId="1" fillId="5" borderId="11" xfId="0" applyNumberFormat="1" applyFont="1" applyFill="1" applyBorder="1"/>
    <xf numFmtId="164" fontId="1" fillId="6" borderId="1" xfId="0" applyNumberFormat="1" applyFont="1" applyFill="1" applyBorder="1"/>
    <xf numFmtId="3" fontId="1" fillId="6" borderId="2" xfId="0" applyNumberFormat="1" applyFont="1" applyFill="1" applyBorder="1"/>
    <xf numFmtId="3" fontId="1" fillId="6" borderId="1" xfId="0" applyNumberFormat="1" applyFont="1" applyFill="1" applyBorder="1"/>
    <xf numFmtId="164" fontId="1" fillId="7" borderId="1" xfId="0" applyNumberFormat="1" applyFont="1" applyFill="1" applyBorder="1"/>
    <xf numFmtId="3" fontId="1" fillId="7" borderId="2" xfId="0" applyNumberFormat="1" applyFont="1" applyFill="1" applyBorder="1"/>
    <xf numFmtId="3" fontId="1" fillId="7" borderId="1" xfId="0" applyNumberFormat="1" applyFont="1" applyFill="1" applyBorder="1"/>
    <xf numFmtId="3" fontId="2" fillId="5" borderId="5" xfId="0" applyNumberFormat="1" applyFont="1" applyFill="1" applyBorder="1"/>
    <xf numFmtId="3" fontId="2" fillId="5" borderId="3" xfId="0" applyNumberFormat="1" applyFont="1" applyFill="1" applyBorder="1"/>
    <xf numFmtId="3" fontId="2" fillId="4" borderId="3" xfId="0" applyNumberFormat="1" applyFont="1" applyFill="1" applyBorder="1"/>
    <xf numFmtId="3" fontId="2" fillId="4" borderId="6" xfId="0" applyNumberFormat="1" applyFont="1" applyFill="1" applyBorder="1"/>
    <xf numFmtId="3" fontId="2" fillId="4" borderId="4" xfId="0" applyNumberFormat="1" applyFont="1" applyFill="1" applyBorder="1"/>
    <xf numFmtId="164" fontId="1" fillId="8" borderId="0" xfId="0" applyNumberFormat="1" applyFont="1" applyFill="1"/>
    <xf numFmtId="3" fontId="1" fillId="8" borderId="0" xfId="0" applyNumberFormat="1" applyFont="1" applyFill="1"/>
    <xf numFmtId="0" fontId="1" fillId="8" borderId="0" xfId="0" applyFont="1" applyFill="1"/>
    <xf numFmtId="1" fontId="1" fillId="4" borderId="12" xfId="0" applyNumberFormat="1" applyFont="1" applyFill="1" applyBorder="1"/>
    <xf numFmtId="1" fontId="1" fillId="4" borderId="5" xfId="0" applyNumberFormat="1" applyFont="1" applyFill="1" applyBorder="1"/>
    <xf numFmtId="3" fontId="1" fillId="4" borderId="2" xfId="0" applyNumberFormat="1" applyFont="1" applyFill="1" applyBorder="1"/>
    <xf numFmtId="0" fontId="1" fillId="9" borderId="13" xfId="0" applyFont="1" applyFill="1" applyBorder="1"/>
    <xf numFmtId="0" fontId="1" fillId="9" borderId="8" xfId="0" applyFont="1" applyFill="1" applyBorder="1"/>
    <xf numFmtId="0" fontId="1" fillId="9" borderId="1" xfId="0" applyFont="1" applyFill="1" applyBorder="1"/>
    <xf numFmtId="0" fontId="2" fillId="9" borderId="6" xfId="0" applyFont="1" applyFill="1" applyBorder="1"/>
    <xf numFmtId="0" fontId="2" fillId="9" borderId="8" xfId="0" applyFont="1" applyFill="1" applyBorder="1"/>
    <xf numFmtId="3" fontId="1" fillId="5" borderId="1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18181"/>
      <color rgb="FF76C886"/>
      <color rgb="FF65E17A"/>
      <color rgb="FF71F86A"/>
      <color rgb="FFBEEEF8"/>
      <color rgb="FF720808"/>
      <color rgb="FFF49E9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/>
              <a:t>Word Count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Count</c:v>
                </c:pt>
              </c:strCache>
            </c:strRef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tx1">
                    <a:lumMod val="95000"/>
                    <a:lumOff val="5000"/>
                    <a:alpha val="55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Sheet1!$B$3:$B$27</c:f>
              <c:numCache>
                <c:formatCode>[$-F800]dddd\,\ mmmm\ dd\,\ yyyy</c:formatCode>
                <c:ptCount val="25"/>
                <c:pt idx="0">
                  <c:v>46250</c:v>
                </c:pt>
                <c:pt idx="1">
                  <c:v>46251</c:v>
                </c:pt>
                <c:pt idx="2">
                  <c:v>46252</c:v>
                </c:pt>
                <c:pt idx="3">
                  <c:v>46253</c:v>
                </c:pt>
                <c:pt idx="4">
                  <c:v>46254</c:v>
                </c:pt>
                <c:pt idx="5">
                  <c:v>46255</c:v>
                </c:pt>
                <c:pt idx="6">
                  <c:v>46256</c:v>
                </c:pt>
                <c:pt idx="7">
                  <c:v>46257</c:v>
                </c:pt>
                <c:pt idx="8">
                  <c:v>46258</c:v>
                </c:pt>
                <c:pt idx="9">
                  <c:v>46259</c:v>
                </c:pt>
                <c:pt idx="10">
                  <c:v>46260</c:v>
                </c:pt>
                <c:pt idx="11">
                  <c:v>46261</c:v>
                </c:pt>
                <c:pt idx="12">
                  <c:v>46262</c:v>
                </c:pt>
                <c:pt idx="13">
                  <c:v>46263</c:v>
                </c:pt>
                <c:pt idx="14">
                  <c:v>46264</c:v>
                </c:pt>
                <c:pt idx="15">
                  <c:v>46265</c:v>
                </c:pt>
                <c:pt idx="16">
                  <c:v>46266</c:v>
                </c:pt>
                <c:pt idx="17">
                  <c:v>46267</c:v>
                </c:pt>
                <c:pt idx="18">
                  <c:v>46268</c:v>
                </c:pt>
                <c:pt idx="19">
                  <c:v>46269</c:v>
                </c:pt>
                <c:pt idx="20">
                  <c:v>46270</c:v>
                </c:pt>
                <c:pt idx="21">
                  <c:v>46271</c:v>
                </c:pt>
                <c:pt idx="22">
                  <c:v>46272</c:v>
                </c:pt>
                <c:pt idx="23">
                  <c:v>46273</c:v>
                </c:pt>
                <c:pt idx="24">
                  <c:v>46274</c:v>
                </c:pt>
              </c:numCache>
            </c:numRef>
          </c:cat>
          <c:val>
            <c:numRef>
              <c:f>Sheet1!$C$3:$C$27</c:f>
              <c:numCache>
                <c:formatCode>#,##0</c:formatCode>
                <c:ptCount val="25"/>
                <c:pt idx="0">
                  <c:v>1524</c:v>
                </c:pt>
                <c:pt idx="1">
                  <c:v>2365</c:v>
                </c:pt>
                <c:pt idx="2">
                  <c:v>2663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D9-444A-952D-B19C1785622B}"/>
            </c:ext>
          </c:extLst>
        </c:ser>
        <c:ser>
          <c:idx val="1"/>
          <c:order val="1"/>
          <c:tx>
            <c:strRef>
              <c:f>Sheet1!$E$2</c:f>
              <c:strCache>
                <c:ptCount val="1"/>
                <c:pt idx="0">
                  <c:v>Overall Target</c:v>
                </c:pt>
              </c:strCache>
            </c:strRef>
          </c:tx>
          <c:spPr>
            <a:ln w="28575" cap="rnd">
              <a:solidFill>
                <a:srgbClr val="720808"/>
              </a:solidFill>
              <a:round/>
            </a:ln>
            <a:effectLst/>
          </c:spPr>
          <c:marker>
            <c:symbol val="none"/>
          </c:marker>
          <c:val>
            <c:numRef>
              <c:f>Sheet1!$E$3:$E$27</c:f>
              <c:numCache>
                <c:formatCode>#,##0</c:formatCode>
                <c:ptCount val="25"/>
                <c:pt idx="0">
                  <c:v>20000</c:v>
                </c:pt>
                <c:pt idx="1">
                  <c:v>20000</c:v>
                </c:pt>
                <c:pt idx="2">
                  <c:v>20000</c:v>
                </c:pt>
                <c:pt idx="3">
                  <c:v>20000</c:v>
                </c:pt>
                <c:pt idx="4">
                  <c:v>20000</c:v>
                </c:pt>
                <c:pt idx="5">
                  <c:v>20000</c:v>
                </c:pt>
                <c:pt idx="6">
                  <c:v>20000</c:v>
                </c:pt>
                <c:pt idx="7">
                  <c:v>20000</c:v>
                </c:pt>
                <c:pt idx="8">
                  <c:v>20000</c:v>
                </c:pt>
                <c:pt idx="9">
                  <c:v>20000</c:v>
                </c:pt>
                <c:pt idx="10">
                  <c:v>20000</c:v>
                </c:pt>
                <c:pt idx="11">
                  <c:v>20000</c:v>
                </c:pt>
                <c:pt idx="12">
                  <c:v>20000</c:v>
                </c:pt>
                <c:pt idx="13">
                  <c:v>20000</c:v>
                </c:pt>
                <c:pt idx="14">
                  <c:v>20000</c:v>
                </c:pt>
                <c:pt idx="15">
                  <c:v>20000</c:v>
                </c:pt>
                <c:pt idx="16">
                  <c:v>20000</c:v>
                </c:pt>
                <c:pt idx="17">
                  <c:v>20000</c:v>
                </c:pt>
                <c:pt idx="18">
                  <c:v>20000</c:v>
                </c:pt>
                <c:pt idx="19">
                  <c:v>20000</c:v>
                </c:pt>
                <c:pt idx="20">
                  <c:v>20000</c:v>
                </c:pt>
                <c:pt idx="21">
                  <c:v>20000</c:v>
                </c:pt>
                <c:pt idx="22">
                  <c:v>20000</c:v>
                </c:pt>
                <c:pt idx="23">
                  <c:v>20000</c:v>
                </c:pt>
                <c:pt idx="24">
                  <c:v>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D9-444A-952D-B19C17856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0237439"/>
        <c:axId val="1741707999"/>
      </c:lineChart>
      <c:dateAx>
        <c:axId val="1840237439"/>
        <c:scaling>
          <c:orientation val="minMax"/>
        </c:scaling>
        <c:delete val="0"/>
        <c:axPos val="b"/>
        <c:numFmt formatCode="[$-F800]dddd\,\ mmmm\ dd\,\ 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41707999"/>
        <c:crosses val="autoZero"/>
        <c:auto val="1"/>
        <c:lblOffset val="100"/>
        <c:baseTimeUnit val="days"/>
      </c:dateAx>
      <c:valAx>
        <c:axId val="1741707999"/>
        <c:scaling>
          <c:orientation val="minMax"/>
          <c:max val="23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40237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183173</xdr:colOff>
      <xdr:row>6</xdr:row>
      <xdr:rowOff>187933</xdr:rowOff>
    </xdr:from>
    <xdr:to>
      <xdr:col>12</xdr:col>
      <xdr:colOff>219808</xdr:colOff>
      <xdr:row>27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431FC3C-7350-2EFD-E3C8-848F0DF122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3A3B3-C19C-41F0-9C7A-3F939AAD4664}">
  <dimension ref="B1:H27"/>
  <sheetViews>
    <sheetView tabSelected="1" zoomScale="130" zoomScaleNormal="130" workbookViewId="0">
      <selection activeCell="C11" sqref="C11"/>
    </sheetView>
  </sheetViews>
  <sheetFormatPr defaultRowHeight="14.25" x14ac:dyDescent="0.2"/>
  <cols>
    <col min="1" max="1" width="2.85546875" style="26" customWidth="1"/>
    <col min="2" max="2" width="21.42578125" style="24" customWidth="1"/>
    <col min="3" max="4" width="15.140625" style="25" customWidth="1"/>
    <col min="5" max="5" width="14.28515625" style="26" bestFit="1" customWidth="1"/>
    <col min="6" max="6" width="2.85546875" style="26" customWidth="1"/>
    <col min="7" max="7" width="27.140625" style="26" bestFit="1" customWidth="1"/>
    <col min="8" max="8" width="9.85546875" style="26" bestFit="1" customWidth="1"/>
    <col min="9" max="16384" width="9.140625" style="26"/>
  </cols>
  <sheetData>
    <row r="1" spans="2:8" ht="15" thickBot="1" x14ac:dyDescent="0.25">
      <c r="B1" s="26"/>
      <c r="C1" s="26"/>
      <c r="D1" s="26"/>
    </row>
    <row r="2" spans="2:8" ht="15" thickBot="1" x14ac:dyDescent="0.25">
      <c r="B2" s="5" t="s">
        <v>2</v>
      </c>
      <c r="C2" s="6" t="s">
        <v>0</v>
      </c>
      <c r="D2" s="6" t="s">
        <v>1</v>
      </c>
      <c r="E2" s="5" t="s">
        <v>8</v>
      </c>
      <c r="G2" s="30" t="s">
        <v>4</v>
      </c>
      <c r="H2" s="27">
        <f>COUNTIF(C3:C27, "")</f>
        <v>22</v>
      </c>
    </row>
    <row r="3" spans="2:8" ht="15.75" thickBot="1" x14ac:dyDescent="0.3">
      <c r="B3" s="7">
        <v>46250</v>
      </c>
      <c r="C3" s="21">
        <v>1524</v>
      </c>
      <c r="D3" s="21"/>
      <c r="E3" s="22">
        <v>20000</v>
      </c>
      <c r="G3" s="31" t="s">
        <v>5</v>
      </c>
      <c r="H3" s="28">
        <f>COUNTIF(C3:C19, "")</f>
        <v>14</v>
      </c>
    </row>
    <row r="4" spans="2:8" ht="15" thickBot="1" x14ac:dyDescent="0.25">
      <c r="B4" s="2">
        <v>46251</v>
      </c>
      <c r="C4" s="4">
        <v>2365</v>
      </c>
      <c r="D4" s="3">
        <v>2200</v>
      </c>
      <c r="E4" s="9">
        <v>20000</v>
      </c>
      <c r="G4" s="32" t="s">
        <v>3</v>
      </c>
      <c r="H4" s="29" cm="1">
        <f t="array" ref="H4">MAX(0,20000-LOOKUP(2,1/(C3:C27&lt;&gt;""),C3:C27))</f>
        <v>17337</v>
      </c>
    </row>
    <row r="5" spans="2:8" ht="15" x14ac:dyDescent="0.25">
      <c r="B5" s="2">
        <v>46252</v>
      </c>
      <c r="C5" s="3">
        <v>2663</v>
      </c>
      <c r="D5" s="3">
        <v>3200</v>
      </c>
      <c r="E5" s="9">
        <v>20000</v>
      </c>
      <c r="G5" s="33" t="s">
        <v>6</v>
      </c>
      <c r="H5" s="20">
        <f>ROUNDUP(H4/H3,0)</f>
        <v>1239</v>
      </c>
    </row>
    <row r="6" spans="2:8" ht="15.75" thickBot="1" x14ac:dyDescent="0.3">
      <c r="B6" s="2">
        <v>46253</v>
      </c>
      <c r="C6" s="4"/>
      <c r="D6" s="3"/>
      <c r="E6" s="9">
        <v>20000</v>
      </c>
      <c r="G6" s="34" t="s">
        <v>7</v>
      </c>
      <c r="H6" s="19">
        <f>ROUNDUP(H4/H2,0)</f>
        <v>789</v>
      </c>
    </row>
    <row r="7" spans="2:8" ht="15" x14ac:dyDescent="0.25">
      <c r="B7" s="8">
        <v>46254</v>
      </c>
      <c r="C7" s="23"/>
      <c r="D7" s="21"/>
      <c r="E7" s="22">
        <v>20000</v>
      </c>
    </row>
    <row r="8" spans="2:8" x14ac:dyDescent="0.2">
      <c r="B8" s="2">
        <v>46255</v>
      </c>
      <c r="C8" s="4"/>
      <c r="D8" s="3"/>
      <c r="E8" s="9">
        <v>20000</v>
      </c>
    </row>
    <row r="9" spans="2:8" ht="15" customHeight="1" x14ac:dyDescent="0.2">
      <c r="B9" s="2">
        <v>46256</v>
      </c>
      <c r="C9" s="4"/>
      <c r="D9" s="3"/>
      <c r="E9" s="9">
        <v>20000</v>
      </c>
    </row>
    <row r="10" spans="2:8" ht="15" x14ac:dyDescent="0.25">
      <c r="B10" s="8">
        <v>46257</v>
      </c>
      <c r="C10" s="23"/>
      <c r="D10" s="21"/>
      <c r="E10" s="22">
        <v>20000</v>
      </c>
    </row>
    <row r="11" spans="2:8" x14ac:dyDescent="0.2">
      <c r="B11" s="2">
        <v>46258</v>
      </c>
      <c r="C11" s="4"/>
      <c r="D11" s="3"/>
      <c r="E11" s="9">
        <v>20000</v>
      </c>
    </row>
    <row r="12" spans="2:8" x14ac:dyDescent="0.2">
      <c r="B12" s="2">
        <v>46259</v>
      </c>
      <c r="C12" s="4"/>
      <c r="D12" s="3"/>
      <c r="E12" s="9">
        <v>20000</v>
      </c>
    </row>
    <row r="13" spans="2:8" x14ac:dyDescent="0.2">
      <c r="B13" s="2">
        <v>46260</v>
      </c>
      <c r="C13" s="4"/>
      <c r="D13" s="3"/>
      <c r="E13" s="9">
        <v>20000</v>
      </c>
    </row>
    <row r="14" spans="2:8" ht="15" x14ac:dyDescent="0.25">
      <c r="B14" s="8">
        <v>46261</v>
      </c>
      <c r="C14" s="23"/>
      <c r="D14" s="21"/>
      <c r="E14" s="22">
        <v>20000</v>
      </c>
    </row>
    <row r="15" spans="2:8" x14ac:dyDescent="0.2">
      <c r="B15" s="2">
        <v>46262</v>
      </c>
      <c r="C15" s="4"/>
      <c r="D15" s="3"/>
      <c r="E15" s="9">
        <v>20000</v>
      </c>
    </row>
    <row r="16" spans="2:8" x14ac:dyDescent="0.2">
      <c r="B16" s="2">
        <v>46263</v>
      </c>
      <c r="C16" s="4"/>
      <c r="D16" s="3"/>
      <c r="E16" s="9">
        <v>20000</v>
      </c>
    </row>
    <row r="17" spans="2:5" ht="15" x14ac:dyDescent="0.25">
      <c r="B17" s="8">
        <v>46264</v>
      </c>
      <c r="C17" s="23"/>
      <c r="D17" s="21"/>
      <c r="E17" s="22">
        <v>20000</v>
      </c>
    </row>
    <row r="18" spans="2:5" ht="15" thickBot="1" x14ac:dyDescent="0.25">
      <c r="B18" s="10">
        <v>46265</v>
      </c>
      <c r="C18" s="11"/>
      <c r="D18" s="35"/>
      <c r="E18" s="12">
        <v>20000</v>
      </c>
    </row>
    <row r="19" spans="2:5" ht="15" thickBot="1" x14ac:dyDescent="0.25">
      <c r="B19" s="16">
        <v>46266</v>
      </c>
      <c r="C19" s="17"/>
      <c r="D19" s="17"/>
      <c r="E19" s="18">
        <v>20000</v>
      </c>
    </row>
    <row r="20" spans="2:5" x14ac:dyDescent="0.2">
      <c r="B20" s="1">
        <v>46267</v>
      </c>
      <c r="C20" s="3"/>
      <c r="D20" s="3"/>
      <c r="E20" s="9">
        <v>20000</v>
      </c>
    </row>
    <row r="21" spans="2:5" ht="15" x14ac:dyDescent="0.25">
      <c r="B21" s="8">
        <v>46268</v>
      </c>
      <c r="C21" s="23"/>
      <c r="D21" s="21"/>
      <c r="E21" s="22">
        <v>20000</v>
      </c>
    </row>
    <row r="22" spans="2:5" x14ac:dyDescent="0.2">
      <c r="B22" s="2">
        <v>46269</v>
      </c>
      <c r="C22" s="4"/>
      <c r="D22" s="3"/>
      <c r="E22" s="9">
        <v>20000</v>
      </c>
    </row>
    <row r="23" spans="2:5" x14ac:dyDescent="0.2">
      <c r="B23" s="2">
        <v>46270</v>
      </c>
      <c r="C23" s="4"/>
      <c r="D23" s="3"/>
      <c r="E23" s="9">
        <v>20000</v>
      </c>
    </row>
    <row r="24" spans="2:5" ht="15" x14ac:dyDescent="0.25">
      <c r="B24" s="8">
        <v>46271</v>
      </c>
      <c r="C24" s="23"/>
      <c r="D24" s="21"/>
      <c r="E24" s="22">
        <v>20000</v>
      </c>
    </row>
    <row r="25" spans="2:5" x14ac:dyDescent="0.2">
      <c r="B25" s="2">
        <v>46272</v>
      </c>
      <c r="C25" s="4"/>
      <c r="D25" s="3"/>
      <c r="E25" s="9">
        <v>20000</v>
      </c>
    </row>
    <row r="26" spans="2:5" ht="15" thickBot="1" x14ac:dyDescent="0.25">
      <c r="B26" s="10">
        <v>46273</v>
      </c>
      <c r="C26" s="11"/>
      <c r="D26" s="35"/>
      <c r="E26" s="12">
        <v>20000</v>
      </c>
    </row>
    <row r="27" spans="2:5" ht="15" thickBot="1" x14ac:dyDescent="0.25">
      <c r="B27" s="13">
        <v>46274</v>
      </c>
      <c r="C27" s="14"/>
      <c r="D27" s="14"/>
      <c r="E27" s="15">
        <v>20000</v>
      </c>
    </row>
  </sheetData>
  <conditionalFormatting sqref="H5">
    <cfRule type="colorScale" priority="1">
      <colorScale>
        <cfvo type="num" val="100"/>
        <cfvo type="num" val="450"/>
        <cfvo type="num" val="800"/>
        <color rgb="FF76C886"/>
        <color rgb="FFFFEB84"/>
        <color rgb="FFD18181"/>
      </colorScale>
    </cfRule>
  </conditionalFormatting>
  <conditionalFormatting sqref="H6">
    <cfRule type="colorScale" priority="3">
      <colorScale>
        <cfvo type="num" val="0"/>
        <cfvo type="num" val="250"/>
        <cfvo type="num" val="500"/>
        <color rgb="FF76C886"/>
        <color rgb="FFFFEB84"/>
        <color rgb="FFD18181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Wesley Roots</dc:creator>
  <cp:lastModifiedBy>Wesley Roots</cp:lastModifiedBy>
  <dcterms:created xsi:type="dcterms:W3CDTF">2026-08-17T14:33:49Z</dcterms:created>
  <dcterms:modified xsi:type="dcterms:W3CDTF">2026-08-18T19:05:30Z</dcterms:modified>
</cp:coreProperties>
</file>