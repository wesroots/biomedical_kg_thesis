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wesle\biomedical_kg_thesis\thesis\"/>
    </mc:Choice>
  </mc:AlternateContent>
  <xr:revisionPtr revIDLastSave="0" documentId="13_ncr:1_{8B88B8DD-2E6B-42CA-9C76-FE169B54E758}" xr6:coauthVersionLast="47" xr6:coauthVersionMax="47" xr10:uidLastSave="{00000000-0000-0000-0000-000000000000}"/>
  <bookViews>
    <workbookView xWindow="28680" yWindow="1875" windowWidth="29040" windowHeight="15840" xr2:uid="{9A934C0C-D068-49A2-992C-A9C72EA32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D8" i="1"/>
  <c r="F8" i="1" s="1"/>
  <c r="E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F5" i="1"/>
  <c r="F6" i="1"/>
  <c r="D7" i="1"/>
  <c r="D6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D19" i="1"/>
  <c r="D5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4" i="1"/>
  <c r="K3" i="1"/>
  <c r="K4" i="1" a="1"/>
  <c r="K2" i="1"/>
  <c r="K5" i="1" l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<sst xmlns="http://schemas.openxmlformats.org/spreadsheetml/2006/main" count="16" uniqueCount="13">
  <si>
    <t>Count</t>
  </si>
  <si>
    <t>Date</t>
  </si>
  <si>
    <t>Words Remaining</t>
  </si>
  <si>
    <t>Days Remaining (Deadline)</t>
  </si>
  <si>
    <t>Days Remaining (Target)</t>
  </si>
  <si>
    <t>Target Daily Rate</t>
  </si>
  <si>
    <t>Deadline Daily Rate</t>
  </si>
  <si>
    <t>Overall Target</t>
  </si>
  <si>
    <t>NA</t>
  </si>
  <si>
    <t>Daily Count</t>
  </si>
  <si>
    <t>Remaining Daily Count</t>
  </si>
  <si>
    <t>PCT Written</t>
  </si>
  <si>
    <t>Daily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</si>
</sst>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49E9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164" fontId="1" fillId="3" borderId="6" xfId="0" applyNumberFormat="1" applyFont="1" applyFill="1" applyBorder="1"/>
    <xf numFmtId="164" fontId="1" fillId="3" borderId="7" xfId="0" applyNumberFormat="1" applyFont="1" applyFill="1" applyBorder="1"/>
    <xf numFmtId="164" fontId="2" fillId="3" borderId="6" xfId="0" applyNumberFormat="1" applyFont="1" applyFill="1" applyBorder="1"/>
    <xf numFmtId="164" fontId="2" fillId="3" borderId="7" xfId="0" applyNumberFormat="1" applyFont="1" applyFill="1" applyBorder="1"/>
    <xf numFmtId="164" fontId="1" fillId="3" borderId="9" xfId="0" applyNumberFormat="1" applyFont="1" applyFill="1" applyBorder="1"/>
    <xf numFmtId="164" fontId="1" fillId="6" borderId="1" xfId="0" applyNumberFormat="1" applyFont="1" applyFill="1" applyBorder="1"/>
    <xf numFmtId="3" fontId="1" fillId="6" borderId="2" xfId="0" applyNumberFormat="1" applyFont="1" applyFill="1" applyBorder="1"/>
    <xf numFmtId="3" fontId="1" fillId="6" borderId="1" xfId="0" applyNumberFormat="1" applyFont="1" applyFill="1" applyBorder="1"/>
    <xf numFmtId="3" fontId="2" fillId="5" borderId="5" xfId="0" applyNumberFormat="1" applyFont="1" applyFill="1" applyBorder="1"/>
    <xf numFmtId="3" fontId="2" fillId="5" borderId="3" xfId="0" applyNumberFormat="1" applyFont="1" applyFill="1" applyBorder="1"/>
    <xf numFmtId="1" fontId="1" fillId="4" borderId="12" xfId="0" applyNumberFormat="1" applyFont="1" applyFill="1" applyBorder="1"/>
    <xf numFmtId="1" fontId="1" fillId="4" borderId="5" xfId="0" applyNumberFormat="1" applyFont="1" applyFill="1" applyBorder="1"/>
    <xf numFmtId="3" fontId="1" fillId="4" borderId="2" xfId="0" applyNumberFormat="1" applyFont="1" applyFill="1" applyBorder="1"/>
    <xf numFmtId="0" fontId="1" fillId="7" borderId="13" xfId="0" applyFont="1" applyFill="1" applyBorder="1"/>
    <xf numFmtId="0" fontId="1" fillId="7" borderId="8" xfId="0" applyFont="1" applyFill="1" applyBorder="1"/>
    <xf numFmtId="0" fontId="1" fillId="7" borderId="1" xfId="0" applyFont="1" applyFill="1" applyBorder="1"/>
    <xf numFmtId="0" fontId="2" fillId="7" borderId="6" xfId="0" applyFont="1" applyFill="1" applyBorder="1"/>
    <xf numFmtId="0" fontId="2" fillId="7" borderId="8" xfId="0" applyFont="1" applyFill="1" applyBorder="1"/>
    <xf numFmtId="9" fontId="1" fillId="6" borderId="1" xfId="0" applyNumberFormat="1" applyFont="1" applyFill="1" applyBorder="1"/>
    <xf numFmtId="3" fontId="1" fillId="0" borderId="6" xfId="0" applyNumberFormat="1" applyFont="1" applyFill="1" applyBorder="1"/>
    <xf numFmtId="3" fontId="2" fillId="0" borderId="6" xfId="0" applyNumberFormat="1" applyFont="1" applyFill="1" applyBorder="1"/>
    <xf numFmtId="3" fontId="1" fillId="0" borderId="11" xfId="0" applyNumberFormat="1" applyFont="1" applyFill="1" applyBorder="1"/>
    <xf numFmtId="164" fontId="1" fillId="8" borderId="0" xfId="0" applyNumberFormat="1" applyFont="1" applyFill="1"/>
    <xf numFmtId="3" fontId="1" fillId="8" borderId="0" xfId="0" applyNumberFormat="1" applyFont="1" applyFill="1"/>
    <xf numFmtId="0" fontId="1" fillId="8" borderId="0" xfId="0" applyFont="1" applyFill="1"/>
    <xf numFmtId="3" fontId="2" fillId="8" borderId="3" xfId="0" applyNumberFormat="1" applyFont="1" applyFill="1" applyBorder="1"/>
    <xf numFmtId="3" fontId="1" fillId="9" borderId="3" xfId="0" applyNumberFormat="1" applyFont="1" applyFill="1" applyBorder="1"/>
    <xf numFmtId="9" fontId="1" fillId="9" borderId="3" xfId="0" applyNumberFormat="1" applyFont="1" applyFill="1" applyBorder="1"/>
    <xf numFmtId="3" fontId="2" fillId="9" borderId="3" xfId="0" applyNumberFormat="1" applyFont="1" applyFill="1" applyBorder="1"/>
    <xf numFmtId="3" fontId="1" fillId="9" borderId="14" xfId="0" applyNumberFormat="1" applyFont="1" applyFill="1" applyBorder="1"/>
    <xf numFmtId="9" fontId="1" fillId="9" borderId="14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9" borderId="3" xfId="0" applyNumberFormat="1" applyFont="1" applyFill="1" applyBorder="1"/>
    <xf numFmtId="3" fontId="1" fillId="10" borderId="4" xfId="0" applyNumberFormat="1" applyFont="1" applyFill="1" applyBorder="1"/>
    <xf numFmtId="3" fontId="1" fillId="10" borderId="3" xfId="0" applyNumberFormat="1" applyFont="1" applyFill="1" applyBorder="1"/>
    <xf numFmtId="3" fontId="1" fillId="10" borderId="10" xfId="0" applyNumberFormat="1" applyFont="1" applyFill="1" applyBorder="1"/>
    <xf numFmtId="3" fontId="1" fillId="10" borderId="14" xfId="0" applyNumberFormat="1" applyFont="1" applyFill="1" applyBorder="1"/>
    <xf numFmtId="3" fontId="2" fillId="11" borderId="4" xfId="0" applyNumberFormat="1" applyFont="1" applyFill="1" applyBorder="1"/>
    <xf numFmtId="3" fontId="2" fillId="11" borderId="3" xfId="0" applyNumberFormat="1" applyFont="1" applyFill="1" applyBorder="1"/>
    <xf numFmtId="3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9E9E"/>
      <color rgb="FFE1DECD"/>
      <color rgb="FFFFFF99"/>
      <color rgb="FF63BE7B"/>
      <color rgb="FFFFEB84"/>
      <color rgb="FFF8696B"/>
      <color rgb="FF458ED7"/>
      <color rgb="FF6BA5DF"/>
      <color rgb="FFEE6868"/>
      <color rgb="FFF18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Word Count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Count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tx1">
                    <a:lumMod val="95000"/>
                    <a:lumOff val="5000"/>
                    <a:alpha val="5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Sheet1!$B$3:$B$27</c:f>
              <c:numCache>
                <c:formatCode>[$-F800]dddd\,\ mmmm\ dd\,\ yyyy</c:formatCode>
                <c:ptCount val="25"/>
                <c:pt idx="0">
                  <c:v>46250</c:v>
                </c:pt>
                <c:pt idx="1">
                  <c:v>46251</c:v>
                </c:pt>
                <c:pt idx="2">
                  <c:v>46252</c:v>
                </c:pt>
                <c:pt idx="3">
                  <c:v>46253</c:v>
                </c:pt>
                <c:pt idx="4">
                  <c:v>46254</c:v>
                </c:pt>
                <c:pt idx="5">
                  <c:v>46255</c:v>
                </c:pt>
                <c:pt idx="6">
                  <c:v>46256</c:v>
                </c:pt>
                <c:pt idx="7">
                  <c:v>46257</c:v>
                </c:pt>
                <c:pt idx="8">
                  <c:v>46258</c:v>
                </c:pt>
                <c:pt idx="9">
                  <c:v>46259</c:v>
                </c:pt>
                <c:pt idx="10">
                  <c:v>46260</c:v>
                </c:pt>
                <c:pt idx="11">
                  <c:v>46261</c:v>
                </c:pt>
                <c:pt idx="12">
                  <c:v>46262</c:v>
                </c:pt>
                <c:pt idx="13">
                  <c:v>46263</c:v>
                </c:pt>
                <c:pt idx="14">
                  <c:v>46264</c:v>
                </c:pt>
                <c:pt idx="15">
                  <c:v>46265</c:v>
                </c:pt>
                <c:pt idx="16">
                  <c:v>46266</c:v>
                </c:pt>
                <c:pt idx="17">
                  <c:v>46267</c:v>
                </c:pt>
                <c:pt idx="18">
                  <c:v>46268</c:v>
                </c:pt>
                <c:pt idx="19">
                  <c:v>46269</c:v>
                </c:pt>
                <c:pt idx="20">
                  <c:v>46270</c:v>
                </c:pt>
                <c:pt idx="21">
                  <c:v>46271</c:v>
                </c:pt>
                <c:pt idx="22">
                  <c:v>46272</c:v>
                </c:pt>
                <c:pt idx="23">
                  <c:v>46273</c:v>
                </c:pt>
                <c:pt idx="24">
                  <c:v>46274</c:v>
                </c:pt>
              </c:numCache>
            </c:numRef>
          </c:cat>
          <c:val>
            <c:numRef>
              <c:f>Sheet1!$C$3:$C$27</c:f>
              <c:numCache>
                <c:formatCode>#,##0</c:formatCode>
                <c:ptCount val="25"/>
                <c:pt idx="0">
                  <c:v>1524</c:v>
                </c:pt>
                <c:pt idx="1">
                  <c:v>2365</c:v>
                </c:pt>
                <c:pt idx="2">
                  <c:v>2998</c:v>
                </c:pt>
                <c:pt idx="3">
                  <c:v>3611</c:v>
                </c:pt>
                <c:pt idx="4">
                  <c:v>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9-444A-952D-B19C1785622B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Overall Target</c:v>
                </c:pt>
              </c:strCache>
            </c:strRef>
          </c:tx>
          <c:spPr>
            <a:ln w="28575" cap="rnd">
              <a:solidFill>
                <a:srgbClr val="720808"/>
              </a:solidFill>
              <a:round/>
            </a:ln>
            <a:effectLst/>
          </c:spPr>
          <c:marker>
            <c:symbol val="none"/>
          </c:marker>
          <c:val>
            <c:numRef>
              <c:f>Sheet1!$H$3:$H$27</c:f>
              <c:numCache>
                <c:formatCode>#,##0</c:formatCode>
                <c:ptCount val="25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20000</c:v>
                </c:pt>
                <c:pt idx="18">
                  <c:v>20000</c:v>
                </c:pt>
                <c:pt idx="19">
                  <c:v>20000</c:v>
                </c:pt>
                <c:pt idx="20">
                  <c:v>20000</c:v>
                </c:pt>
                <c:pt idx="21">
                  <c:v>20000</c:v>
                </c:pt>
                <c:pt idx="22">
                  <c:v>20000</c:v>
                </c:pt>
                <c:pt idx="23">
                  <c:v>20000</c:v>
                </c:pt>
                <c:pt idx="24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9-444A-952D-B19C17856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237439"/>
        <c:axId val="1741707999"/>
      </c:lineChart>
      <c:dateAx>
        <c:axId val="1840237439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41707999"/>
        <c:crosses val="autoZero"/>
        <c:auto val="1"/>
        <c:lblOffset val="100"/>
        <c:baseTimeUnit val="days"/>
      </c:dateAx>
      <c:valAx>
        <c:axId val="1741707999"/>
        <c:scaling>
          <c:orientation val="minMax"/>
          <c:max val="2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023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183173</xdr:colOff>
      <xdr:row>6</xdr:row>
      <xdr:rowOff>187933</xdr:rowOff>
    </xdr:from>
    <xdr:to>
      <xdr:col>15</xdr:col>
      <xdr:colOff>219808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31FC3C-7350-2EFD-E3C8-848F0DF1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A3B3-C19C-41F0-9C7A-3F939AAD4664}">
  <dimension ref="B1:K27"/>
  <sheetViews>
    <sheetView tabSelected="1" zoomScale="125" zoomScaleNormal="125" workbookViewId="0">
      <selection activeCell="E9" sqref="E9"/>
    </sheetView>
  </sheetViews>
  <sheetFormatPr defaultRowHeight="14.25" x14ac:dyDescent="0.2"/>
  <cols>
    <col min="1" max="1" width="2.85546875" style="25" customWidth="1"/>
    <col min="2" max="2" width="22.85546875" style="23" customWidth="1"/>
    <col min="3" max="3" width="10.7109375" style="24" customWidth="1"/>
    <col min="4" max="4" width="15.7109375" style="24" customWidth="1"/>
    <col min="5" max="5" width="27" style="24" customWidth="1"/>
    <col min="6" max="6" width="15.140625" style="24" customWidth="1"/>
    <col min="7" max="7" width="15.85546875" style="24" customWidth="1"/>
    <col min="8" max="8" width="16" style="25" customWidth="1"/>
    <col min="9" max="9" width="2.85546875" style="25" customWidth="1"/>
    <col min="10" max="10" width="27.140625" style="25" bestFit="1" customWidth="1"/>
    <col min="11" max="11" width="9.85546875" style="25" bestFit="1" customWidth="1"/>
    <col min="12" max="16384" width="9.140625" style="25"/>
  </cols>
  <sheetData>
    <row r="1" spans="2:11" ht="15" thickBot="1" x14ac:dyDescent="0.25">
      <c r="B1" s="25"/>
      <c r="C1" s="25"/>
      <c r="D1" s="25"/>
      <c r="E1" s="25"/>
      <c r="F1" s="25"/>
      <c r="G1" s="25"/>
    </row>
    <row r="2" spans="2:11" ht="15.75" thickBot="1" x14ac:dyDescent="0.25">
      <c r="B2" s="33" t="s">
        <v>1</v>
      </c>
      <c r="C2" s="32" t="s">
        <v>0</v>
      </c>
      <c r="D2" s="32" t="s">
        <v>9</v>
      </c>
      <c r="E2" s="32" t="s">
        <v>10</v>
      </c>
      <c r="F2" s="32" t="s">
        <v>11</v>
      </c>
      <c r="G2" s="32" t="s">
        <v>12</v>
      </c>
      <c r="H2" s="33" t="s">
        <v>7</v>
      </c>
      <c r="J2" s="14" t="s">
        <v>3</v>
      </c>
      <c r="K2" s="11">
        <f>COUNTIF(C3:C27, "")</f>
        <v>20</v>
      </c>
    </row>
    <row r="3" spans="2:11" ht="15.75" thickBot="1" x14ac:dyDescent="0.3">
      <c r="B3" s="3">
        <v>46250</v>
      </c>
      <c r="C3" s="26">
        <v>1524</v>
      </c>
      <c r="D3" s="26" t="s">
        <v>8</v>
      </c>
      <c r="E3" s="26" t="s">
        <v>8</v>
      </c>
      <c r="F3" s="26" t="s">
        <v>8</v>
      </c>
      <c r="G3" s="26" t="s">
        <v>8</v>
      </c>
      <c r="H3" s="21">
        <v>20000</v>
      </c>
      <c r="J3" s="15" t="s">
        <v>4</v>
      </c>
      <c r="K3" s="12">
        <f>COUNTIF(C3:C19, "")</f>
        <v>12</v>
      </c>
    </row>
    <row r="4" spans="2:11" ht="15" thickBot="1" x14ac:dyDescent="0.25">
      <c r="B4" s="2">
        <v>46251</v>
      </c>
      <c r="C4" s="35">
        <v>2365</v>
      </c>
      <c r="D4" s="27">
        <f>IF(C4="", "", C4-C3)</f>
        <v>841</v>
      </c>
      <c r="E4" s="27">
        <f>IF(C4="", "", G4-C4)</f>
        <v>-165</v>
      </c>
      <c r="F4" s="28">
        <f t="shared" ref="F4:F8" si="0">IF(G4="","",IF(C4="","",D4/(G4-C3)))</f>
        <v>1.2440828402366864</v>
      </c>
      <c r="G4" s="36">
        <v>2200</v>
      </c>
      <c r="H4" s="20">
        <v>20000</v>
      </c>
      <c r="J4" s="16" t="s">
        <v>2</v>
      </c>
      <c r="K4" s="13" cm="1">
        <f t="array" ref="K4">MAX(0,20000-LOOKUP(2,1/(C3:C27&lt;&gt;""),C3:C27))</f>
        <v>14950</v>
      </c>
    </row>
    <row r="5" spans="2:11" ht="15" x14ac:dyDescent="0.25">
      <c r="B5" s="2">
        <v>46252</v>
      </c>
      <c r="C5" s="36">
        <v>2998</v>
      </c>
      <c r="D5" s="27">
        <f t="shared" ref="D5:D27" si="1">IF(C5="", "", C5-C4)</f>
        <v>633</v>
      </c>
      <c r="E5" s="27">
        <f t="shared" ref="E5:E27" si="2">IF(C5="", "", G5-C5)</f>
        <v>202</v>
      </c>
      <c r="F5" s="28">
        <f t="shared" si="0"/>
        <v>0.75808383233532939</v>
      </c>
      <c r="G5" s="36">
        <v>3200</v>
      </c>
      <c r="H5" s="20">
        <v>20000</v>
      </c>
      <c r="J5" s="17" t="s">
        <v>5</v>
      </c>
      <c r="K5" s="10">
        <f>ROUNDUP(K4/K3,0)</f>
        <v>1246</v>
      </c>
    </row>
    <row r="6" spans="2:11" ht="15.75" thickBot="1" x14ac:dyDescent="0.3">
      <c r="B6" s="2">
        <v>46253</v>
      </c>
      <c r="C6" s="35">
        <v>3611</v>
      </c>
      <c r="D6" s="27">
        <f t="shared" si="1"/>
        <v>613</v>
      </c>
      <c r="E6" s="27">
        <f t="shared" si="2"/>
        <v>389</v>
      </c>
      <c r="F6" s="28">
        <f t="shared" si="0"/>
        <v>0.61177644710578838</v>
      </c>
      <c r="G6" s="36">
        <v>4000</v>
      </c>
      <c r="H6" s="20">
        <v>20000</v>
      </c>
      <c r="J6" s="18" t="s">
        <v>6</v>
      </c>
      <c r="K6" s="9">
        <f>ROUNDUP(K4/K2,0)</f>
        <v>748</v>
      </c>
    </row>
    <row r="7" spans="2:11" ht="15" x14ac:dyDescent="0.25">
      <c r="B7" s="4">
        <v>46254</v>
      </c>
      <c r="C7" s="39">
        <v>5050</v>
      </c>
      <c r="D7" s="29">
        <f t="shared" si="1"/>
        <v>1439</v>
      </c>
      <c r="E7" s="29">
        <f t="shared" si="2"/>
        <v>-50</v>
      </c>
      <c r="F7" s="34">
        <f t="shared" si="0"/>
        <v>1.0359971202303815</v>
      </c>
      <c r="G7" s="40">
        <v>5000</v>
      </c>
      <c r="H7" s="21">
        <v>20000</v>
      </c>
    </row>
    <row r="8" spans="2:11" ht="15" x14ac:dyDescent="0.25">
      <c r="B8" s="2">
        <v>46255</v>
      </c>
      <c r="C8" s="35"/>
      <c r="D8" s="29" t="str">
        <f t="shared" si="1"/>
        <v/>
      </c>
      <c r="E8" s="27" t="str">
        <f t="shared" si="2"/>
        <v/>
      </c>
      <c r="F8" s="28" t="str">
        <f t="shared" si="0"/>
        <v/>
      </c>
      <c r="G8" s="36"/>
      <c r="H8" s="20">
        <v>20000</v>
      </c>
    </row>
    <row r="9" spans="2:11" ht="15" customHeight="1" x14ac:dyDescent="0.2">
      <c r="B9" s="2">
        <v>46256</v>
      </c>
      <c r="C9" s="35"/>
      <c r="D9" s="27" t="str">
        <f t="shared" si="1"/>
        <v/>
      </c>
      <c r="E9" s="27" t="str">
        <f t="shared" si="2"/>
        <v/>
      </c>
      <c r="F9" s="28" t="str">
        <f t="shared" ref="F9:F27" si="3">IF(G9="","",IF(C9="","",D9/(G9-C8)))</f>
        <v/>
      </c>
      <c r="G9" s="36"/>
      <c r="H9" s="20">
        <v>20000</v>
      </c>
    </row>
    <row r="10" spans="2:11" ht="15" x14ac:dyDescent="0.25">
      <c r="B10" s="4">
        <v>46257</v>
      </c>
      <c r="C10" s="39"/>
      <c r="D10" s="29" t="str">
        <f t="shared" si="1"/>
        <v/>
      </c>
      <c r="E10" s="29" t="str">
        <f t="shared" si="2"/>
        <v/>
      </c>
      <c r="F10" s="34" t="str">
        <f t="shared" si="3"/>
        <v/>
      </c>
      <c r="G10" s="40"/>
      <c r="H10" s="21">
        <v>20000</v>
      </c>
    </row>
    <row r="11" spans="2:11" x14ac:dyDescent="0.2">
      <c r="B11" s="2">
        <v>46258</v>
      </c>
      <c r="C11" s="35"/>
      <c r="D11" s="27" t="str">
        <f t="shared" si="1"/>
        <v/>
      </c>
      <c r="E11" s="27" t="str">
        <f t="shared" si="2"/>
        <v/>
      </c>
      <c r="F11" s="28" t="str">
        <f t="shared" si="3"/>
        <v/>
      </c>
      <c r="G11" s="36"/>
      <c r="H11" s="20">
        <v>20000</v>
      </c>
    </row>
    <row r="12" spans="2:11" x14ac:dyDescent="0.2">
      <c r="B12" s="2">
        <v>46259</v>
      </c>
      <c r="C12" s="35"/>
      <c r="D12" s="27" t="str">
        <f t="shared" si="1"/>
        <v/>
      </c>
      <c r="E12" s="27" t="str">
        <f t="shared" si="2"/>
        <v/>
      </c>
      <c r="F12" s="28" t="str">
        <f t="shared" si="3"/>
        <v/>
      </c>
      <c r="G12" s="36"/>
      <c r="H12" s="20">
        <v>20000</v>
      </c>
    </row>
    <row r="13" spans="2:11" x14ac:dyDescent="0.2">
      <c r="B13" s="2">
        <v>46260</v>
      </c>
      <c r="C13" s="35"/>
      <c r="D13" s="27" t="str">
        <f t="shared" si="1"/>
        <v/>
      </c>
      <c r="E13" s="27" t="str">
        <f t="shared" si="2"/>
        <v/>
      </c>
      <c r="F13" s="28" t="str">
        <f t="shared" si="3"/>
        <v/>
      </c>
      <c r="G13" s="36"/>
      <c r="H13" s="20">
        <v>20000</v>
      </c>
    </row>
    <row r="14" spans="2:11" ht="15" x14ac:dyDescent="0.25">
      <c r="B14" s="4">
        <v>46261</v>
      </c>
      <c r="C14" s="39"/>
      <c r="D14" s="29" t="str">
        <f t="shared" si="1"/>
        <v/>
      </c>
      <c r="E14" s="29" t="str">
        <f t="shared" si="2"/>
        <v/>
      </c>
      <c r="F14" s="34" t="str">
        <f t="shared" si="3"/>
        <v/>
      </c>
      <c r="G14" s="40"/>
      <c r="H14" s="21">
        <v>20000</v>
      </c>
    </row>
    <row r="15" spans="2:11" x14ac:dyDescent="0.2">
      <c r="B15" s="2">
        <v>46262</v>
      </c>
      <c r="C15" s="35"/>
      <c r="D15" s="27" t="str">
        <f t="shared" si="1"/>
        <v/>
      </c>
      <c r="E15" s="27" t="str">
        <f t="shared" si="2"/>
        <v/>
      </c>
      <c r="F15" s="28" t="str">
        <f t="shared" si="3"/>
        <v/>
      </c>
      <c r="G15" s="36"/>
      <c r="H15" s="20">
        <v>20000</v>
      </c>
    </row>
    <row r="16" spans="2:11" x14ac:dyDescent="0.2">
      <c r="B16" s="2">
        <v>46263</v>
      </c>
      <c r="C16" s="35"/>
      <c r="D16" s="27" t="str">
        <f t="shared" si="1"/>
        <v/>
      </c>
      <c r="E16" s="27" t="str">
        <f t="shared" si="2"/>
        <v/>
      </c>
      <c r="F16" s="28" t="str">
        <f t="shared" si="3"/>
        <v/>
      </c>
      <c r="G16" s="36"/>
      <c r="H16" s="20">
        <v>20000</v>
      </c>
    </row>
    <row r="17" spans="2:8" ht="15" x14ac:dyDescent="0.25">
      <c r="B17" s="4">
        <v>46264</v>
      </c>
      <c r="C17" s="39"/>
      <c r="D17" s="29" t="str">
        <f t="shared" si="1"/>
        <v/>
      </c>
      <c r="E17" s="29" t="str">
        <f t="shared" si="2"/>
        <v/>
      </c>
      <c r="F17" s="34" t="str">
        <f t="shared" si="3"/>
        <v/>
      </c>
      <c r="G17" s="40"/>
      <c r="H17" s="21">
        <v>20000</v>
      </c>
    </row>
    <row r="18" spans="2:8" ht="15" thickBot="1" x14ac:dyDescent="0.25">
      <c r="B18" s="5">
        <v>46265</v>
      </c>
      <c r="C18" s="37"/>
      <c r="D18" s="30" t="str">
        <f t="shared" si="1"/>
        <v/>
      </c>
      <c r="E18" s="30" t="str">
        <f t="shared" si="2"/>
        <v/>
      </c>
      <c r="F18" s="31" t="str">
        <f t="shared" si="3"/>
        <v/>
      </c>
      <c r="G18" s="38"/>
      <c r="H18" s="22">
        <v>20000</v>
      </c>
    </row>
    <row r="19" spans="2:8" ht="15" thickBot="1" x14ac:dyDescent="0.25">
      <c r="B19" s="6">
        <v>46266</v>
      </c>
      <c r="C19" s="7"/>
      <c r="D19" s="8" t="str">
        <f t="shared" si="1"/>
        <v/>
      </c>
      <c r="E19" s="8" t="str">
        <f t="shared" si="2"/>
        <v/>
      </c>
      <c r="F19" s="19" t="str">
        <f t="shared" si="3"/>
        <v/>
      </c>
      <c r="G19" s="7"/>
      <c r="H19" s="41">
        <v>20000</v>
      </c>
    </row>
    <row r="20" spans="2:8" x14ac:dyDescent="0.2">
      <c r="B20" s="1">
        <v>46267</v>
      </c>
      <c r="C20" s="36"/>
      <c r="D20" s="27" t="str">
        <f t="shared" si="1"/>
        <v/>
      </c>
      <c r="E20" s="27" t="str">
        <f t="shared" si="2"/>
        <v/>
      </c>
      <c r="F20" s="28" t="str">
        <f t="shared" si="3"/>
        <v/>
      </c>
      <c r="G20" s="36"/>
      <c r="H20" s="20">
        <v>20000</v>
      </c>
    </row>
    <row r="21" spans="2:8" ht="15" x14ac:dyDescent="0.25">
      <c r="B21" s="4">
        <v>46268</v>
      </c>
      <c r="C21" s="39"/>
      <c r="D21" s="29" t="str">
        <f t="shared" si="1"/>
        <v/>
      </c>
      <c r="E21" s="29" t="str">
        <f t="shared" si="2"/>
        <v/>
      </c>
      <c r="F21" s="34" t="str">
        <f t="shared" si="3"/>
        <v/>
      </c>
      <c r="G21" s="40"/>
      <c r="H21" s="21">
        <v>20000</v>
      </c>
    </row>
    <row r="22" spans="2:8" x14ac:dyDescent="0.2">
      <c r="B22" s="2">
        <v>46269</v>
      </c>
      <c r="C22" s="35"/>
      <c r="D22" s="27" t="str">
        <f t="shared" si="1"/>
        <v/>
      </c>
      <c r="E22" s="27" t="str">
        <f t="shared" si="2"/>
        <v/>
      </c>
      <c r="F22" s="28" t="str">
        <f t="shared" si="3"/>
        <v/>
      </c>
      <c r="G22" s="36"/>
      <c r="H22" s="20">
        <v>20000</v>
      </c>
    </row>
    <row r="23" spans="2:8" x14ac:dyDescent="0.2">
      <c r="B23" s="2">
        <v>46270</v>
      </c>
      <c r="C23" s="35"/>
      <c r="D23" s="27" t="str">
        <f t="shared" si="1"/>
        <v/>
      </c>
      <c r="E23" s="27" t="str">
        <f t="shared" si="2"/>
        <v/>
      </c>
      <c r="F23" s="28" t="str">
        <f t="shared" si="3"/>
        <v/>
      </c>
      <c r="G23" s="36"/>
      <c r="H23" s="20">
        <v>20000</v>
      </c>
    </row>
    <row r="24" spans="2:8" ht="15" x14ac:dyDescent="0.25">
      <c r="B24" s="4">
        <v>46271</v>
      </c>
      <c r="C24" s="39"/>
      <c r="D24" s="29" t="str">
        <f t="shared" si="1"/>
        <v/>
      </c>
      <c r="E24" s="29" t="str">
        <f t="shared" si="2"/>
        <v/>
      </c>
      <c r="F24" s="34" t="str">
        <f t="shared" si="3"/>
        <v/>
      </c>
      <c r="G24" s="40"/>
      <c r="H24" s="21">
        <v>20000</v>
      </c>
    </row>
    <row r="25" spans="2:8" x14ac:dyDescent="0.2">
      <c r="B25" s="2">
        <v>46272</v>
      </c>
      <c r="C25" s="35"/>
      <c r="D25" s="27" t="str">
        <f t="shared" si="1"/>
        <v/>
      </c>
      <c r="E25" s="27" t="str">
        <f t="shared" si="2"/>
        <v/>
      </c>
      <c r="F25" s="28" t="str">
        <f t="shared" si="3"/>
        <v/>
      </c>
      <c r="G25" s="36"/>
      <c r="H25" s="20">
        <v>20000</v>
      </c>
    </row>
    <row r="26" spans="2:8" ht="15" thickBot="1" x14ac:dyDescent="0.25">
      <c r="B26" s="5">
        <v>46273</v>
      </c>
      <c r="C26" s="37"/>
      <c r="D26" s="30" t="str">
        <f t="shared" si="1"/>
        <v/>
      </c>
      <c r="E26" s="30" t="str">
        <f t="shared" si="2"/>
        <v/>
      </c>
      <c r="F26" s="31" t="str">
        <f t="shared" si="3"/>
        <v/>
      </c>
      <c r="G26" s="38"/>
      <c r="H26" s="22">
        <v>20000</v>
      </c>
    </row>
    <row r="27" spans="2:8" ht="15" thickBot="1" x14ac:dyDescent="0.25">
      <c r="B27" s="6">
        <v>46274</v>
      </c>
      <c r="C27" s="7"/>
      <c r="D27" s="8" t="str">
        <f t="shared" si="1"/>
        <v/>
      </c>
      <c r="E27" s="8" t="str">
        <f t="shared" si="2"/>
        <v/>
      </c>
      <c r="F27" s="19" t="str">
        <f t="shared" si="3"/>
        <v/>
      </c>
      <c r="G27" s="7"/>
      <c r="H27" s="41">
        <v>20000</v>
      </c>
    </row>
  </sheetData>
  <conditionalFormatting sqref="D4:D27">
    <cfRule type="colorScale" priority="3">
      <colorScale>
        <cfvo type="num" val="500"/>
        <cfvo type="num" val="900"/>
        <cfvo type="num" val="1300"/>
        <color rgb="FFF8696B"/>
        <color rgb="FFFFEB84"/>
        <color rgb="FF63BE7B"/>
      </colorScale>
    </cfRule>
  </conditionalFormatting>
  <conditionalFormatting sqref="E4:E27">
    <cfRule type="colorScale" priority="2">
      <colorScale>
        <cfvo type="num" val="0"/>
        <cfvo type="num" val="100"/>
        <cfvo type="num" val="200"/>
        <color rgb="FF63BE7B"/>
        <color rgb="FFFFEB84"/>
        <color rgb="FFF8696B"/>
      </colorScale>
    </cfRule>
  </conditionalFormatting>
  <conditionalFormatting sqref="K5">
    <cfRule type="colorScale" priority="5">
      <colorScale>
        <cfvo type="num" val="100"/>
        <cfvo type="num" val="450"/>
        <cfvo type="num" val="800"/>
        <color rgb="FF63BE7B"/>
        <color rgb="FFFFEB84"/>
        <color rgb="FFF8696B"/>
      </colorScale>
    </cfRule>
  </conditionalFormatting>
  <conditionalFormatting sqref="K6">
    <cfRule type="colorScale" priority="7">
      <colorScale>
        <cfvo type="num" val="0"/>
        <cfvo type="num" val="250"/>
        <cfvo type="num" val="500"/>
        <color rgb="FF63BE7B"/>
        <color rgb="FFFFEB84"/>
        <color rgb="FFF8696B"/>
      </colorScale>
    </cfRule>
  </conditionalFormatting>
  <conditionalFormatting sqref="F4:F27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Roots</dc:creator>
  <cp:lastModifiedBy>Wesley Roots</cp:lastModifiedBy>
  <dcterms:created xsi:type="dcterms:W3CDTF">2026-08-17T14:33:49Z</dcterms:created>
  <dcterms:modified xsi:type="dcterms:W3CDTF">2026-08-21T14:18:40Z</dcterms:modified>
</cp:coreProperties>
</file>